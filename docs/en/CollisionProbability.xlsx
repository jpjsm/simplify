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jpjsm@github\simplify\docs\en\"/>
    </mc:Choice>
  </mc:AlternateContent>
  <xr:revisionPtr revIDLastSave="0" documentId="13_ncr:1_{C8E21DCD-A411-4B76-BE5D-A716C5175B3A}" xr6:coauthVersionLast="47" xr6:coauthVersionMax="47" xr10:uidLastSave="{00000000-0000-0000-0000-000000000000}"/>
  <bookViews>
    <workbookView xWindow="28680" yWindow="-120" windowWidth="29040" windowHeight="15720" xr2:uid="{ECA767C8-6D9E-4745-946A-6BC4E68755CA}"/>
  </bookViews>
  <sheets>
    <sheet name="Sheet1" sheetId="1" r:id="rId1"/>
  </sheets>
  <definedNames>
    <definedName name="Hash_Size_bits">Sheet1!$E$1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4" i="1"/>
  <c r="D5" i="1"/>
  <c r="D6" i="1"/>
  <c r="D7" i="1"/>
  <c r="D8" i="1"/>
  <c r="D9" i="1"/>
  <c r="D10" i="1"/>
  <c r="D4" i="1"/>
  <c r="C5" i="1"/>
  <c r="C6" i="1"/>
  <c r="F6" i="1" s="1"/>
  <c r="G6" i="1" s="1"/>
  <c r="H6" i="1" s="1"/>
  <c r="C7" i="1"/>
  <c r="C8" i="1"/>
  <c r="C9" i="1"/>
  <c r="F9" i="1" s="1"/>
  <c r="G9" i="1" s="1"/>
  <c r="H9" i="1" s="1"/>
  <c r="C10" i="1"/>
  <c r="F10" i="1" s="1"/>
  <c r="G10" i="1" s="1"/>
  <c r="H10" i="1" s="1"/>
  <c r="C4" i="1"/>
  <c r="F8" i="1" l="1"/>
  <c r="G8" i="1" s="1"/>
  <c r="H8" i="1" s="1"/>
  <c r="F7" i="1"/>
  <c r="G7" i="1" s="1"/>
  <c r="H7" i="1" s="1"/>
  <c r="F4" i="1"/>
  <c r="G4" i="1" s="1"/>
  <c r="H4" i="1" s="1"/>
  <c r="F5" i="1"/>
  <c r="G5" i="1" s="1"/>
  <c r="H5" i="1" s="1"/>
</calcChain>
</file>

<file path=xl/sharedStrings.xml><?xml version="1.0" encoding="utf-8"?>
<sst xmlns="http://schemas.openxmlformats.org/spreadsheetml/2006/main" count="7" uniqueCount="7">
  <si>
    <t>n</t>
  </si>
  <si>
    <t>n2</t>
  </si>
  <si>
    <t>exp</t>
  </si>
  <si>
    <t>d</t>
  </si>
  <si>
    <t>Percentage</t>
  </si>
  <si>
    <t>Probability</t>
  </si>
  <si>
    <t>Hash Size (bits)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</si>
</sst>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0%"/>
    <numFmt numFmtId="166" formatCode="_(* #,##0.000000_);_(* \(#,##0.00000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7">
    <xf numFmtId="0" fontId="0" fillId="0" borderId="0" xfId="0"/>
    <xf numFmtId="164" fontId="0" fillId="0" borderId="0" xfId="1" applyNumberFormat="1" applyFont="1"/>
    <xf numFmtId="164" fontId="0" fillId="0" borderId="0" xfId="1" applyNumberFormat="1" applyFont="1" applyAlignment="1">
      <alignment horizontal="right"/>
    </xf>
    <xf numFmtId="164" fontId="2" fillId="2" borderId="0" xfId="3" applyNumberFormat="1" applyAlignment="1">
      <alignment horizontal="right"/>
    </xf>
    <xf numFmtId="165" fontId="0" fillId="0" borderId="0" xfId="2" applyNumberFormat="1" applyFont="1"/>
    <xf numFmtId="166" fontId="2" fillId="2" borderId="0" xfId="1" applyNumberFormat="1" applyFont="1" applyFill="1" applyAlignment="1">
      <alignment horizontal="right"/>
    </xf>
    <xf numFmtId="166" fontId="0" fillId="0" borderId="0" xfId="1" applyNumberFormat="1" applyFont="1"/>
  </cellXfs>
  <cellStyles count="4">
    <cellStyle name="Accent4" xfId="3" builtinId="41"/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E1603-4B10-4703-AE4F-6078242F27AF}">
  <dimension ref="B1:H10"/>
  <sheetViews>
    <sheetView tabSelected="1" workbookViewId="0">
      <selection activeCell="E2" sqref="E2"/>
    </sheetView>
  </sheetViews>
  <sheetFormatPr defaultRowHeight="15" x14ac:dyDescent="0.25"/>
  <cols>
    <col min="3" max="3" width="15.28515625" style="1" bestFit="1" customWidth="1"/>
    <col min="4" max="4" width="27.42578125" style="1" bestFit="1" customWidth="1"/>
    <col min="5" max="5" width="17.5703125" customWidth="1"/>
    <col min="6" max="6" width="12.140625" style="6" customWidth="1"/>
    <col min="7" max="7" width="11" bestFit="1" customWidth="1"/>
    <col min="8" max="8" width="12.140625" bestFit="1" customWidth="1"/>
  </cols>
  <sheetData>
    <row r="1" spans="2:8" x14ac:dyDescent="0.25">
      <c r="D1" s="2" t="s">
        <v>6</v>
      </c>
      <c r="E1">
        <v>96</v>
      </c>
    </row>
    <row r="3" spans="2:8" x14ac:dyDescent="0.25">
      <c r="C3" s="3" t="s">
        <v>0</v>
      </c>
      <c r="D3" s="3" t="s">
        <v>1</v>
      </c>
      <c r="E3" s="3" t="s">
        <v>2</v>
      </c>
      <c r="F3" s="5" t="s">
        <v>3</v>
      </c>
      <c r="G3" s="3" t="s">
        <v>5</v>
      </c>
      <c r="H3" s="3" t="s">
        <v>4</v>
      </c>
    </row>
    <row r="4" spans="2:8" x14ac:dyDescent="0.25">
      <c r="B4">
        <v>4</v>
      </c>
      <c r="C4" s="1">
        <f>POWER(10,B4)</f>
        <v>10000</v>
      </c>
      <c r="D4" s="2">
        <f>C4*(C4-1)</f>
        <v>99990000</v>
      </c>
      <c r="E4">
        <f>-(D4/POWER(2,Hash_Size_bits+1))</f>
        <v>-6.3102561530439176E-22</v>
      </c>
      <c r="F4" s="6">
        <f>EXP(E4)</f>
        <v>1</v>
      </c>
      <c r="G4">
        <f>1-F4</f>
        <v>0</v>
      </c>
      <c r="H4" s="4">
        <f>G4</f>
        <v>0</v>
      </c>
    </row>
    <row r="5" spans="2:8" x14ac:dyDescent="0.25">
      <c r="B5">
        <v>5</v>
      </c>
      <c r="C5" s="1">
        <f t="shared" ref="C5:C10" si="0">POWER(10,B5)</f>
        <v>100000</v>
      </c>
      <c r="D5" s="2">
        <f t="shared" ref="D5:D10" si="1">C5*(C5-1)</f>
        <v>9999900000</v>
      </c>
      <c r="E5">
        <f>-(D5/POWER(2,Hash_Size_bits+1))</f>
        <v>-6.3108241328956768E-20</v>
      </c>
      <c r="F5" s="6">
        <f t="shared" ref="F5:F10" si="2">EXP(E5)</f>
        <v>1</v>
      </c>
      <c r="G5">
        <f t="shared" ref="G5:G10" si="3">1-F5</f>
        <v>0</v>
      </c>
      <c r="H5" s="4">
        <f t="shared" ref="H5:H10" si="4">G5</f>
        <v>0</v>
      </c>
    </row>
    <row r="6" spans="2:8" x14ac:dyDescent="0.25">
      <c r="B6">
        <v>6</v>
      </c>
      <c r="C6" s="1">
        <f t="shared" si="0"/>
        <v>1000000</v>
      </c>
      <c r="D6" s="2">
        <f t="shared" si="1"/>
        <v>999999000000</v>
      </c>
      <c r="E6">
        <f>-(D6/POWER(2,Hash_Size_bits+1))</f>
        <v>-6.3108809308808527E-18</v>
      </c>
      <c r="F6" s="6">
        <f t="shared" si="2"/>
        <v>1</v>
      </c>
      <c r="G6">
        <f t="shared" si="3"/>
        <v>0</v>
      </c>
      <c r="H6" s="4">
        <f t="shared" si="4"/>
        <v>0</v>
      </c>
    </row>
    <row r="7" spans="2:8" x14ac:dyDescent="0.25">
      <c r="B7">
        <v>7</v>
      </c>
      <c r="C7" s="1">
        <f t="shared" si="0"/>
        <v>10000000</v>
      </c>
      <c r="D7" s="2">
        <f t="shared" si="1"/>
        <v>99999990000000</v>
      </c>
      <c r="E7">
        <f>-(D7/POWER(2,Hash_Size_bits+1))</f>
        <v>-6.3108866106793703E-16</v>
      </c>
      <c r="F7" s="6">
        <f t="shared" si="2"/>
        <v>0.99999999999999933</v>
      </c>
      <c r="G7">
        <f t="shared" si="3"/>
        <v>0</v>
      </c>
      <c r="H7" s="4">
        <f t="shared" si="4"/>
        <v>0</v>
      </c>
    </row>
    <row r="8" spans="2:8" x14ac:dyDescent="0.25">
      <c r="B8">
        <v>8</v>
      </c>
      <c r="C8" s="1">
        <f t="shared" si="0"/>
        <v>100000000</v>
      </c>
      <c r="D8" s="2">
        <f t="shared" si="1"/>
        <v>9999999900000000</v>
      </c>
      <c r="E8">
        <f>-(D8/POWER(2,Hash_Size_bits+1))</f>
        <v>-6.310887178659222E-14</v>
      </c>
      <c r="F8" s="6">
        <f t="shared" si="2"/>
        <v>0.99999999999993694</v>
      </c>
      <c r="G8">
        <f t="shared" si="3"/>
        <v>6.3060667798708891E-14</v>
      </c>
      <c r="H8" s="4">
        <f t="shared" si="4"/>
        <v>6.3060667798708891E-14</v>
      </c>
    </row>
    <row r="9" spans="2:8" x14ac:dyDescent="0.25">
      <c r="B9">
        <v>9</v>
      </c>
      <c r="C9" s="1">
        <f t="shared" si="0"/>
        <v>1000000000</v>
      </c>
      <c r="D9" s="2">
        <f t="shared" si="1"/>
        <v>9.99999999E+17</v>
      </c>
      <c r="E9">
        <f>-(D9/POWER(2,Hash_Size_bits+1))</f>
        <v>-6.3108872354572072E-12</v>
      </c>
      <c r="F9" s="6">
        <f t="shared" si="2"/>
        <v>0.99999999999368916</v>
      </c>
      <c r="G9">
        <f t="shared" si="3"/>
        <v>6.3108407388767773E-12</v>
      </c>
      <c r="H9" s="4">
        <f t="shared" si="4"/>
        <v>6.3108407388767773E-12</v>
      </c>
    </row>
    <row r="10" spans="2:8" x14ac:dyDescent="0.25">
      <c r="B10">
        <v>10</v>
      </c>
      <c r="C10" s="1">
        <f t="shared" si="0"/>
        <v>10000000000</v>
      </c>
      <c r="D10" s="2">
        <f t="shared" si="1"/>
        <v>9.9999999989999993E+19</v>
      </c>
      <c r="E10">
        <f>-(D10/POWER(2,Hash_Size_bits+1))</f>
        <v>-6.3108872411370053E-10</v>
      </c>
      <c r="F10" s="6">
        <f t="shared" si="2"/>
        <v>0.99999999936891126</v>
      </c>
      <c r="G10">
        <f t="shared" si="3"/>
        <v>6.3108873682438116E-10</v>
      </c>
      <c r="H10" s="4">
        <f t="shared" si="4"/>
        <v>6.3108873682438116E-10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Hash_Size_bits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JuanPablo Jofre</dc:creator>
  <cp:lastModifiedBy>JuanPablo Jofre</cp:lastModifiedBy>
  <dcterms:created xsi:type="dcterms:W3CDTF">2026-07-26T15:52:16Z</dcterms:created>
  <dcterms:modified xsi:type="dcterms:W3CDTF">2026-07-26T19:48:28Z</dcterms:modified>
</cp:coreProperties>
</file>